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7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<sst xmlns="http://schemas.openxmlformats.org/spreadsheetml/2006/main" count="98" uniqueCount="78">
  <si>
    <r>
      <rPr>
        <b/>
        <sz val="18"/>
        <color indexed="48"/>
        <rFont val="宋体"/>
        <charset val="134"/>
      </rPr>
      <t xml:space="preserve">   </t>
    </r>
    <r>
      <rPr>
        <b/>
        <sz val="18"/>
        <color indexed="10"/>
        <rFont val="宋体"/>
        <charset val="134"/>
      </rPr>
      <t>得胜中国驰名商标</t>
    </r>
    <r>
      <rPr>
        <b/>
        <sz val="18"/>
        <color indexed="10"/>
        <rFont val="宋体"/>
        <charset val="134"/>
      </rPr>
      <t xml:space="preserve">    </t>
    </r>
  </si>
  <si>
    <t>得胜专业音响(中国)有限公司</t>
  </si>
  <si>
    <t>音乐---没有国界；声音---没有距离；沟通由得胜开始………</t>
  </si>
  <si>
    <t>序号</t>
  </si>
  <si>
    <t>名称</t>
  </si>
  <si>
    <t>品牌</t>
  </si>
  <si>
    <t>型号</t>
  </si>
  <si>
    <t>参数</t>
  </si>
  <si>
    <t>数量</t>
  </si>
  <si>
    <t>单位</t>
  </si>
  <si>
    <t>单价</t>
  </si>
  <si>
    <t>总价(元)</t>
  </si>
  <si>
    <t>图片</t>
  </si>
  <si>
    <t>音箱部分</t>
  </si>
  <si>
    <t>会议线性音响</t>
  </si>
  <si>
    <t>TAKSTAR/得胜</t>
  </si>
  <si>
    <t>KT-44</t>
  </si>
  <si>
    <t>• 功率：130W（AES）
• 阻抗：8Ω
• 频率响应（±3dB）：120Hz-18kHz
• 灵敏度（1W/1M）：92dB
• 覆盖角：H90°×V 60°
• 最大声压级：108dB
• 分频模式：两分频
• 吊挂／安装：壁挂
• 接线方式：按压式接线盒
• 箱壳：9mm中纤板
• 表面处理：黑色小点漆
• 单元：高频：3″×1（13芯）
• 低频：4″×4（16芯）
• 产品尺寸（W*D*H）：120*133*560mm
• 配件净重：约0.6kg/只
• 音箱净重：约3.65kg/只</t>
  </si>
  <si>
    <t>支</t>
  </si>
  <si>
    <t>纯后级功放</t>
  </si>
  <si>
    <t>A-200</t>
  </si>
  <si>
    <t>• 额定输出功率（1kHz1%THD）
立体声8Ω：240W+240W
立体声4Ω：310W+310W
桥接8Ω：600W
• 输出接口：Binding for Stereo &amp; Bridge Output
• 频响：20Hz-20kHz
• 输入灵敏度：1.0V
• 平衡输入阻抗：20k Balanced/10k Unbalance
• 信噪比：99dB
• 失真度：&lt;0.1%（8ohm/1kHz/half power）
• 额定输出功率8 OHM 1kHz 时分离度：80dB
• 阻尼系数f=1kHz 8 OHMS：250
• 转换速率：30 V/μs
• 保护：Soft Start,Short Circuit,Limiter,DC Fault,AC Line Fuse,Thermal Cut
• 冷却系统：风冷
• 电源：AC：220-240V 50Hz
• 净重（kg）：约11kg
• 尺寸（W×D×H） 485×370×88mm</t>
  </si>
  <si>
    <t>台</t>
  </si>
  <si>
    <t>音频周边部分</t>
  </si>
  <si>
    <t>调音台</t>
  </si>
  <si>
    <t>XM10</t>
  </si>
  <si>
    <t>• 8路输入，4路麦克风输入+2路立体声输入
• 通道3段参量均衡器
• PAN声像定位，静音开关，信号失真监控灯
• 60mm高精度电平衰减推子
• AUX辅助发送，效果FX发送功能
• 支持24-bit/48kHz录音
• 99种24BIT DSP效果器，LCD彩屏显示 
• SUB1/2编组输出
• 双10段电平监视，48V幻象供电 
• USB播放/蓝牙
• 监听独立输出，耳机监听输出
• 内置110V/240V，50-60Hz宽频电源</t>
  </si>
  <si>
    <t>数字抑制器</t>
  </si>
  <si>
    <t>DF-2</t>
  </si>
  <si>
    <t>• 反馈移频量：5Hz±1Hz
• 传声增益提升量：5-14dB
• 抑制啸叫增益：6dB
• 电源供电：AC 220V 50-60/Hz
• 尺寸（W*D*H）：440×200×44mm
• 重量：2.7KG</t>
  </si>
  <si>
    <t>时序器</t>
  </si>
  <si>
    <t>DL-8</t>
  </si>
  <si>
    <t xml:space="preserve">• 通道数量：8路
• 辅助通道数量：2路
• 通道额定电流：13A
• 通道最大电流：30A
• 通道总功率：3500W
• 时序开关时间间隔：1 sec
• 电源：220V/50Hz
• 重量：约3kg
• 尺寸（W*D*H）：483mm*66.5mm*185mm
</t>
  </si>
  <si>
    <t>视频，摄像部分</t>
  </si>
  <si>
    <t>一体机</t>
  </si>
  <si>
    <t>华为</t>
  </si>
  <si>
    <t>Board2</t>
  </si>
  <si>
    <t>1、支持莱茵护眼的4K柔光屏，集智能书写、极清投屏、多媒体连接为一体的智能协作大屏。
2、86寸，内置4G运存，32G内存，4Core CPU，采用国产自主芯片。
3、超高清4K屏幕分辨率,可视角度178°，玻璃硬度≥7H。
4、4K柔光屏，光学防蓝光。极窄边框，无缝零贴合。
5、双频双Wi-Fi模块设计，频率2.4GHz+5GHz，连网投屏互不干扰，投屏效果最高支持4K60fps，同时支持反向控制，大屏翻页、批注。
6、白板支持多笔触、多手势操作。白板内容可扫码一键带走，支持双人书写、智能书写，手写文字、图形转打印体。
7、USBType-A3.0接口数：3个；HDMI接口数：3个；USBType-C接口数：1个；COM口：1个；RJ45网口：1个；3.5mmLine接口：2个。</t>
  </si>
  <si>
    <t>配置</t>
  </si>
  <si>
    <t>WIN</t>
  </si>
  <si>
    <t>系统</t>
  </si>
  <si>
    <t>i5 CPU10500-DDR4 8GB-512GB SSD，WIN10系统</t>
  </si>
  <si>
    <t>套</t>
  </si>
  <si>
    <t>支架</t>
  </si>
  <si>
    <t>落地</t>
  </si>
  <si>
    <t>配套落地支架</t>
  </si>
  <si>
    <t>个</t>
  </si>
  <si>
    <t>12倍变焦4K会议摄像头</t>
  </si>
  <si>
    <t>腾为</t>
  </si>
  <si>
    <t>TEVO-UVC512</t>
  </si>
  <si>
    <r>
      <rPr>
        <sz val="12"/>
        <rFont val="Symbol"/>
        <charset val="2"/>
      </rPr>
      <t>TEVO-UVC512</t>
    </r>
    <r>
      <rPr>
        <sz val="12"/>
        <rFont val="宋体"/>
        <charset val="2"/>
      </rPr>
      <t>是一款拥有超高清画质的视频会议摄像机</t>
    </r>
    <r>
      <rPr>
        <sz val="12"/>
        <rFont val="Symbol"/>
        <charset val="2"/>
      </rPr>
      <t>,</t>
    </r>
    <r>
      <rPr>
        <sz val="12"/>
        <rFont val="宋体"/>
        <charset val="2"/>
      </rPr>
      <t>先进的</t>
    </r>
    <r>
      <rPr>
        <sz val="12"/>
        <rFont val="Symbol"/>
        <charset val="2"/>
      </rPr>
      <t>ISP</t>
    </r>
    <r>
      <rPr>
        <sz val="12"/>
        <rFont val="宋体"/>
        <charset val="2"/>
      </rPr>
      <t>处理技术和算法，使得图像效果更加清晰，可高度还原实景色彩，满足不同场景下的视频采集应用，支持</t>
    </r>
    <r>
      <rPr>
        <sz val="12"/>
        <rFont val="Symbol"/>
        <charset val="2"/>
      </rPr>
      <t>NDI®|HX</t>
    </r>
    <r>
      <rPr>
        <sz val="12"/>
        <rFont val="宋体"/>
        <charset val="2"/>
      </rPr>
      <t>协议</t>
    </r>
    <r>
      <rPr>
        <sz val="12"/>
        <rFont val="Symbol"/>
        <charset val="2"/>
      </rPr>
      <t>(</t>
    </r>
    <r>
      <rPr>
        <sz val="12"/>
        <rFont val="宋体"/>
        <charset val="2"/>
      </rPr>
      <t>可选），低延迟、抗干扰，双向传输，支持</t>
    </r>
    <r>
      <rPr>
        <sz val="12"/>
        <rFont val="Symbol"/>
        <charset val="2"/>
      </rPr>
      <t>H.265/H.264</t>
    </r>
    <r>
      <rPr>
        <sz val="12"/>
        <rFont val="宋体"/>
        <charset val="2"/>
      </rPr>
      <t>编码，在低带宽下使得画面更加流畅、清晰，支持</t>
    </r>
    <r>
      <rPr>
        <sz val="12"/>
        <rFont val="Symbol"/>
        <charset val="2"/>
      </rPr>
      <t>POE</t>
    </r>
    <r>
      <rPr>
        <sz val="12"/>
        <rFont val="宋体"/>
        <charset val="2"/>
      </rPr>
      <t>供电，真正实现通过一条网线解决所有传输问题。该高清视频会议摄像机广泛应用于视频会议、远程教学、监视、医疗、会议、培训室、法院、因特网通讯以及各类视频通讯领域。</t>
    </r>
    <r>
      <rPr>
        <sz val="12"/>
        <rFont val="Symbol"/>
        <charset val="2"/>
      </rPr>
      <t xml:space="preserve">
1</t>
    </r>
    <r>
      <rPr>
        <sz val="12"/>
        <rFont val="宋体"/>
        <charset val="2"/>
      </rPr>
      <t>、特点</t>
    </r>
    <r>
      <rPr>
        <sz val="12"/>
        <rFont val="Symbol"/>
        <charset val="2"/>
      </rPr>
      <t xml:space="preserve">
1</t>
    </r>
    <r>
      <rPr>
        <sz val="12"/>
        <rFont val="宋体"/>
        <charset val="2"/>
      </rPr>
      <t>）超高清画质：拥有</t>
    </r>
    <r>
      <rPr>
        <sz val="12"/>
        <rFont val="Symbol"/>
        <charset val="2"/>
      </rPr>
      <t>4K</t>
    </r>
    <r>
      <rPr>
        <sz val="12"/>
        <rFont val="宋体"/>
        <charset val="2"/>
      </rPr>
      <t>超高清画质，配备</t>
    </r>
    <r>
      <rPr>
        <sz val="12"/>
        <rFont val="Symbol"/>
        <charset val="2"/>
      </rPr>
      <t>829</t>
    </r>
    <r>
      <rPr>
        <sz val="12"/>
        <rFont val="宋体"/>
        <charset val="2"/>
      </rPr>
      <t>万有效像素，采用</t>
    </r>
    <r>
      <rPr>
        <sz val="12"/>
        <rFont val="Symbol"/>
        <charset val="2"/>
      </rPr>
      <t>1/2.8''SONY CMOS</t>
    </r>
    <r>
      <rPr>
        <sz val="12"/>
        <rFont val="宋体"/>
        <charset val="2"/>
      </rPr>
      <t>镜头能够为您带来身临其境般的至臻视频体验。</t>
    </r>
    <r>
      <rPr>
        <sz val="12"/>
        <rFont val="Symbol"/>
        <charset val="2"/>
      </rPr>
      <t xml:space="preserve">
2</t>
    </r>
    <r>
      <rPr>
        <sz val="12"/>
        <rFont val="宋体"/>
        <charset val="2"/>
      </rPr>
      <t>）光学变焦：</t>
    </r>
    <r>
      <rPr>
        <sz val="12"/>
        <rFont val="Symbol"/>
        <charset val="2"/>
      </rPr>
      <t>12</t>
    </r>
    <r>
      <rPr>
        <sz val="12"/>
        <rFont val="宋体"/>
        <charset val="2"/>
      </rPr>
      <t>倍高品质光学镜头，</t>
    </r>
    <r>
      <rPr>
        <sz val="12"/>
        <rFont val="Symbol"/>
        <charset val="2"/>
      </rPr>
      <t>71°</t>
    </r>
    <r>
      <rPr>
        <sz val="12"/>
        <rFont val="宋体"/>
        <charset val="2"/>
      </rPr>
      <t>大广角。</t>
    </r>
    <r>
      <rPr>
        <sz val="12"/>
        <rFont val="Symbol"/>
        <charset val="2"/>
      </rPr>
      <t xml:space="preserve">
3</t>
    </r>
    <r>
      <rPr>
        <sz val="12"/>
        <rFont val="宋体"/>
        <charset val="2"/>
      </rPr>
      <t>）自动焦距技术：融入先进的</t>
    </r>
    <r>
      <rPr>
        <sz val="12"/>
        <rFont val="Symbol"/>
        <charset val="2"/>
      </rPr>
      <t>AF</t>
    </r>
    <r>
      <rPr>
        <sz val="12"/>
        <rFont val="宋体"/>
        <charset val="2"/>
      </rPr>
      <t>聚焦算法，镜头能够迅速、精确且稳定地完成聚焦操作。</t>
    </r>
    <r>
      <rPr>
        <sz val="12"/>
        <rFont val="Symbol"/>
        <charset val="2"/>
      </rPr>
      <t xml:space="preserve">
4</t>
    </r>
    <r>
      <rPr>
        <sz val="12"/>
        <rFont val="宋体"/>
        <charset val="2"/>
      </rPr>
      <t>）多种接口设计：</t>
    </r>
    <r>
      <rPr>
        <sz val="12"/>
        <rFont val="Symbol"/>
        <charset val="2"/>
      </rPr>
      <t>USB</t>
    </r>
    <r>
      <rPr>
        <sz val="12"/>
        <rFont val="宋体"/>
        <charset val="2"/>
      </rPr>
      <t>、</t>
    </r>
    <r>
      <rPr>
        <sz val="12"/>
        <rFont val="Symbol"/>
        <charset val="2"/>
      </rPr>
      <t>HDMI</t>
    </r>
    <r>
      <rPr>
        <sz val="12"/>
        <rFont val="宋体"/>
        <charset val="2"/>
      </rPr>
      <t>、</t>
    </r>
    <r>
      <rPr>
        <sz val="12"/>
        <rFont val="Symbol"/>
        <charset val="2"/>
      </rPr>
      <t>RJ45</t>
    </r>
    <r>
      <rPr>
        <sz val="12"/>
        <rFont val="宋体"/>
        <charset val="2"/>
      </rPr>
      <t>可同时输出，丰富的输出接口，满足用户不同场景下的多种连接需求。</t>
    </r>
    <r>
      <rPr>
        <sz val="12"/>
        <rFont val="Symbol"/>
        <charset val="2"/>
      </rPr>
      <t xml:space="preserve">
5</t>
    </r>
    <r>
      <rPr>
        <sz val="12"/>
        <rFont val="宋体"/>
        <charset val="2"/>
      </rPr>
      <t>）旋转角度：水平</t>
    </r>
    <r>
      <rPr>
        <sz val="12"/>
        <rFont val="Symbol"/>
        <charset val="2"/>
      </rPr>
      <t>±175°</t>
    </r>
    <r>
      <rPr>
        <sz val="12"/>
        <rFont val="宋体"/>
        <charset val="2"/>
      </rPr>
      <t>和垂直</t>
    </r>
    <r>
      <rPr>
        <sz val="12"/>
        <rFont val="Symbol"/>
        <charset val="2"/>
      </rPr>
      <t>±90°</t>
    </r>
    <r>
      <rPr>
        <sz val="12"/>
        <rFont val="宋体"/>
        <charset val="2"/>
      </rPr>
      <t>大角度旋转调节功能，让您在会议中轻松应对各种场景。通过灵活调节摄像头角度，确保每位参与者都能清晰看到画面内容。</t>
    </r>
    <r>
      <rPr>
        <sz val="12"/>
        <rFont val="Symbol"/>
        <charset val="2"/>
      </rPr>
      <t xml:space="preserve">
6</t>
    </r>
    <r>
      <rPr>
        <sz val="12"/>
        <rFont val="宋体"/>
        <charset val="2"/>
      </rPr>
      <t>）支持多种协议：支持</t>
    </r>
    <r>
      <rPr>
        <sz val="12"/>
        <rFont val="Symbol"/>
        <charset val="2"/>
      </rPr>
      <t>NDI®|HX</t>
    </r>
    <r>
      <rPr>
        <sz val="12"/>
        <rFont val="宋体"/>
        <charset val="2"/>
      </rPr>
      <t>协议</t>
    </r>
    <r>
      <rPr>
        <sz val="12"/>
        <rFont val="Symbol"/>
        <charset val="2"/>
      </rPr>
      <t>(</t>
    </r>
    <r>
      <rPr>
        <sz val="12"/>
        <rFont val="宋体"/>
        <charset val="2"/>
      </rPr>
      <t>可选），低延迟、抗干扰，双向传输，支持</t>
    </r>
    <r>
      <rPr>
        <sz val="12"/>
        <rFont val="Symbol"/>
        <charset val="2"/>
      </rPr>
      <t>H.265/H.264</t>
    </r>
    <r>
      <rPr>
        <sz val="12"/>
        <rFont val="宋体"/>
        <charset val="2"/>
      </rPr>
      <t>编码，可选</t>
    </r>
    <r>
      <rPr>
        <sz val="12"/>
        <rFont val="Symbol"/>
        <charset val="2"/>
      </rPr>
      <t>POE</t>
    </r>
    <r>
      <rPr>
        <sz val="12"/>
        <rFont val="宋体"/>
        <charset val="2"/>
      </rPr>
      <t>供电。</t>
    </r>
  </si>
  <si>
    <t>相机支架</t>
  </si>
  <si>
    <t>三角支架</t>
  </si>
  <si>
    <t>高度：820-1450mm
横杆长度：780mm
重量：1.4kg
装箱尺寸：78.5*32*38.5cm
装箱规格：12pcs/箱</t>
  </si>
  <si>
    <t>辅材部分</t>
  </si>
  <si>
    <t>机柜</t>
  </si>
  <si>
    <t>得胜专用</t>
  </si>
  <si>
    <t>12U</t>
  </si>
  <si>
    <t>简易设备机柜</t>
  </si>
  <si>
    <t>音箱专用高品质线材</t>
  </si>
  <si>
    <t>凯声</t>
  </si>
  <si>
    <t>400支</t>
  </si>
  <si>
    <t>无损高品质音箱线，</t>
  </si>
  <si>
    <t>盘</t>
  </si>
  <si>
    <t>高品质音频线</t>
  </si>
  <si>
    <t>双卡农线</t>
  </si>
  <si>
    <t>用来链接调音台到功放之间的音频传输线材</t>
  </si>
  <si>
    <t>根</t>
  </si>
  <si>
    <t>高品质音箱接头</t>
  </si>
  <si>
    <t>偶插头</t>
  </si>
  <si>
    <t>专业音箱接口插头内置4个接线端口塑料外壳，金属卡扣设计防干扰同时接口稳固。</t>
  </si>
  <si>
    <t>大屏处理器音频线</t>
  </si>
  <si>
    <t>一头3.5通用接口  两头刚干扰莲花接口传输无损。</t>
  </si>
  <si>
    <t>莲花转大二心转换头</t>
  </si>
  <si>
    <t>莲花转大二心转换接口，接口采用抗干扰设计，音质清晰无杂音。</t>
  </si>
  <si>
    <t>不含税总价：</t>
  </si>
  <si>
    <t>税点：</t>
  </si>
  <si>
    <t>含税总价：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</si>
</sst>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0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8"/>
      <color indexed="48"/>
      <name val="宋体"/>
      <charset val="134"/>
    </font>
    <font>
      <b/>
      <sz val="22"/>
      <name val="宋体"/>
      <charset val="134"/>
    </font>
    <font>
      <b/>
      <sz val="12"/>
      <color indexed="48"/>
      <name val="黑体"/>
      <charset val="134"/>
    </font>
    <font>
      <sz val="11"/>
      <color theme="1"/>
      <name val="微软雅黑"/>
      <family val="2"/>
      <charset val="134"/>
    </font>
    <font>
      <b/>
      <sz val="12"/>
      <name val="宋体"/>
      <charset val="134"/>
    </font>
    <font>
      <sz val="12"/>
      <name val="Symbol"/>
      <charset val="2"/>
    </font>
    <font>
      <sz val="10"/>
      <color theme="1"/>
      <name val="宋体"/>
      <charset val="134"/>
    </font>
    <font>
      <sz val="11"/>
      <color indexed="8"/>
      <name val="宋体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2"/>
    </font>
    <font>
      <b/>
      <sz val="18"/>
      <color indexed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/>
    <xf numFmtId="0" fontId="3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7" fillId="0" borderId="3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/>
    <xf numFmtId="0" fontId="8" fillId="0" borderId="3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left" vertical="center"/>
    </xf>
    <xf numFmtId="0" fontId="3" fillId="4" borderId="2" xfId="0" applyFont="1" applyFill="1" applyBorder="1" applyAlignment="1" applyProtection="1">
      <alignment vertical="center"/>
    </xf>
    <xf numFmtId="0" fontId="4" fillId="0" borderId="3" xfId="0" applyFont="1" applyFill="1" applyBorder="1" applyAlignment="1" applyProtection="1">
      <alignment horizontal="left" vertical="center"/>
    </xf>
    <xf numFmtId="0" fontId="4" fillId="0" borderId="3" xfId="0" applyFont="1" applyFill="1" applyBorder="1" applyAlignment="1" applyProtection="1">
      <alignment horizontal="center" vertical="center" wrapText="1"/>
    </xf>
    <xf numFmtId="49" fontId="9" fillId="0" borderId="3" xfId="0" applyNumberFormat="1" applyFont="1" applyFill="1" applyBorder="1" applyAlignment="1" applyProtection="1">
      <alignment horizontal="center" vertical="center"/>
    </xf>
    <xf numFmtId="0" fontId="0" fillId="0" borderId="3" xfId="0" applyFont="1" applyFill="1" applyBorder="1" applyAlignment="1" applyProtection="1">
      <alignment horizontal="center" vertical="center" wrapText="1"/>
    </xf>
    <xf numFmtId="0" fontId="0" fillId="0" borderId="3" xfId="0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left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left" vertical="center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left" vertical="center"/>
    </xf>
    <xf numFmtId="0" fontId="14" fillId="0" borderId="3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666750</xdr:colOff>
      <xdr:row>0</xdr:row>
      <xdr:rowOff>94615</xdr:rowOff>
    </xdr:from>
    <xdr:to>
      <xdr:col>9</xdr:col>
      <xdr:colOff>1715135</xdr:colOff>
      <xdr:row>2</xdr:row>
      <xdr:rowOff>200025</xdr:rowOff>
    </xdr:to>
    <xdr:pic>
      <xdr:nvPicPr>
        <xdr:cNvPr id="2" name="图片 64" descr="\\192.168.1.221\内销品牌\5得胜LOGO类\专注好声音\专注好声音(红)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53600" y="94615"/>
          <a:ext cx="1734185" cy="81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38100</xdr:rowOff>
    </xdr:from>
    <xdr:to>
      <xdr:col>1</xdr:col>
      <xdr:colOff>942975</xdr:colOff>
      <xdr:row>1</xdr:row>
      <xdr:rowOff>48260</xdr:rowOff>
    </xdr:to>
    <xdr:pic>
      <xdr:nvPicPr>
        <xdr:cNvPr id="3" name="图片 65" descr="C:\Users\Administrator\Desktop\得胜2017版 LOGO简体 png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" y="38100"/>
          <a:ext cx="160972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381000</xdr:colOff>
      <xdr:row>9</xdr:row>
      <xdr:rowOff>382270</xdr:rowOff>
    </xdr:from>
    <xdr:to>
      <xdr:col>9</xdr:col>
      <xdr:colOff>1478280</xdr:colOff>
      <xdr:row>9</xdr:row>
      <xdr:rowOff>607060</xdr:rowOff>
    </xdr:to>
    <xdr:pic>
      <xdr:nvPicPr>
        <xdr:cNvPr id="11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153650" y="5192395"/>
          <a:ext cx="1097280" cy="224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400050</xdr:colOff>
      <xdr:row>19</xdr:row>
      <xdr:rowOff>84455</xdr:rowOff>
    </xdr:from>
    <xdr:to>
      <xdr:col>9</xdr:col>
      <xdr:colOff>1191260</xdr:colOff>
      <xdr:row>19</xdr:row>
      <xdr:rowOff>414655</xdr:rowOff>
    </xdr:to>
    <xdr:pic>
      <xdr:nvPicPr>
        <xdr:cNvPr id="22" name="Picture 2476" descr="4789533161607310945443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172700" y="13058775"/>
          <a:ext cx="791210" cy="33020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9</xdr:col>
      <xdr:colOff>400050</xdr:colOff>
      <xdr:row>15</xdr:row>
      <xdr:rowOff>152400</xdr:rowOff>
    </xdr:from>
    <xdr:to>
      <xdr:col>9</xdr:col>
      <xdr:colOff>1187450</xdr:colOff>
      <xdr:row>15</xdr:row>
      <xdr:rowOff>849630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172700" y="9623425"/>
          <a:ext cx="787400" cy="69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647700</xdr:colOff>
      <xdr:row>16</xdr:row>
      <xdr:rowOff>162560</xdr:rowOff>
    </xdr:from>
    <xdr:to>
      <xdr:col>9</xdr:col>
      <xdr:colOff>1001395</xdr:colOff>
      <xdr:row>16</xdr:row>
      <xdr:rowOff>694690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420350" y="10688955"/>
          <a:ext cx="353695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647700</xdr:colOff>
      <xdr:row>5</xdr:row>
      <xdr:rowOff>125730</xdr:rowOff>
    </xdr:from>
    <xdr:to>
      <xdr:col>9</xdr:col>
      <xdr:colOff>1096010</xdr:colOff>
      <xdr:row>5</xdr:row>
      <xdr:rowOff>1019810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420350" y="1849755"/>
          <a:ext cx="448310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199390</xdr:colOff>
      <xdr:row>6</xdr:row>
      <xdr:rowOff>180975</xdr:rowOff>
    </xdr:from>
    <xdr:to>
      <xdr:col>9</xdr:col>
      <xdr:colOff>1229995</xdr:colOff>
      <xdr:row>6</xdr:row>
      <xdr:rowOff>483870</xdr:rowOff>
    </xdr:to>
    <xdr:pic>
      <xdr:nvPicPr>
        <xdr:cNvPr id="15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72040" y="3028950"/>
          <a:ext cx="1030605" cy="302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495935</xdr:colOff>
      <xdr:row>8</xdr:row>
      <xdr:rowOff>108585</xdr:rowOff>
    </xdr:from>
    <xdr:to>
      <xdr:col>9</xdr:col>
      <xdr:colOff>1078230</xdr:colOff>
      <xdr:row>8</xdr:row>
      <xdr:rowOff>693420</xdr:rowOff>
    </xdr:to>
    <xdr:pic>
      <xdr:nvPicPr>
        <xdr:cNvPr id="16" name="图片 2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268585" y="4099560"/>
          <a:ext cx="582295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219075</xdr:colOff>
      <xdr:row>10</xdr:row>
      <xdr:rowOff>457200</xdr:rowOff>
    </xdr:from>
    <xdr:to>
      <xdr:col>9</xdr:col>
      <xdr:colOff>1322705</xdr:colOff>
      <xdr:row>10</xdr:row>
      <xdr:rowOff>617855</xdr:rowOff>
    </xdr:to>
    <xdr:pic>
      <xdr:nvPicPr>
        <xdr:cNvPr id="17" name="图片 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91725" y="6524625"/>
          <a:ext cx="1103630" cy="160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381000</xdr:colOff>
      <xdr:row>18</xdr:row>
      <xdr:rowOff>208915</xdr:rowOff>
    </xdr:from>
    <xdr:to>
      <xdr:col>9</xdr:col>
      <xdr:colOff>933450</xdr:colOff>
      <xdr:row>18</xdr:row>
      <xdr:rowOff>923290</xdr:rowOff>
    </xdr:to>
    <xdr:pic>
      <xdr:nvPicPr>
        <xdr:cNvPr id="18" name="Picture 2434" descr="1339128371607310945402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53650" y="12154535"/>
          <a:ext cx="552450" cy="71437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9</xdr:col>
      <xdr:colOff>361950</xdr:colOff>
      <xdr:row>12</xdr:row>
      <xdr:rowOff>31750</xdr:rowOff>
    </xdr:from>
    <xdr:to>
      <xdr:col>9</xdr:col>
      <xdr:colOff>1393825</xdr:colOff>
      <xdr:row>12</xdr:row>
      <xdr:rowOff>591820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134600" y="7635875"/>
          <a:ext cx="1031875" cy="560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tabSelected="1" zoomScale="80" zoomScaleNormal="80" workbookViewId="0">
      <selection activeCell="J14" sqref="J14"/>
    </sheetView>
  </sheetViews>
  <sheetFormatPr defaultColWidth="9" defaultRowHeight="13.5"/>
  <cols>
    <col min="2" max="2" width="17.5" customWidth="1"/>
    <col min="4" max="4" width="12" customWidth="1"/>
    <col min="5" max="5" width="44.75" customWidth="1"/>
    <col min="10" max="10" width="25.5" customWidth="1"/>
  </cols>
  <sheetData>
    <row r="1" s="1" customFormat="1" ht="28.5" customHeight="1" spans="1:10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="2" customFormat="1" ht="27.75" customHeight="1" spans="1:10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="2" customFormat="1" ht="21" customHeight="1" spans="1:10">
      <c r="A3" s="18" t="s">
        <v>2</v>
      </c>
      <c r="B3" s="17"/>
      <c r="C3" s="17"/>
      <c r="D3" s="17"/>
      <c r="E3" s="17"/>
      <c r="F3" s="17"/>
      <c r="G3" s="17"/>
      <c r="H3" s="17"/>
      <c r="I3" s="17"/>
      <c r="J3" s="17"/>
    </row>
    <row r="4" s="3" customFormat="1" ht="29.25" customHeight="1" spans="1:10">
      <c r="A4" s="19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44" t="s">
        <v>12</v>
      </c>
    </row>
    <row r="5" s="4" customFormat="1" ht="29.25" customHeight="1" spans="1:10">
      <c r="A5" s="21" t="s">
        <v>13</v>
      </c>
      <c r="B5" s="22"/>
      <c r="C5" s="22"/>
      <c r="D5" s="22"/>
      <c r="E5" s="22"/>
      <c r="F5" s="22"/>
      <c r="G5" s="22"/>
      <c r="H5" s="22"/>
      <c r="I5" s="22"/>
      <c r="J5" s="22"/>
    </row>
    <row r="6" s="5" customFormat="1" ht="88.5" customHeight="1" spans="1:10">
      <c r="A6" s="23">
        <v>1</v>
      </c>
      <c r="B6" s="24" t="s">
        <v>14</v>
      </c>
      <c r="C6" s="24" t="s">
        <v>15</v>
      </c>
      <c r="D6" s="24" t="s">
        <v>16</v>
      </c>
      <c r="E6" s="24" t="s">
        <v>17</v>
      </c>
      <c r="F6" s="24">
        <v>2</v>
      </c>
      <c r="G6" s="24" t="s">
        <v>18</v>
      </c>
      <c r="H6" s="24">
        <v>650</v>
      </c>
      <c r="I6" s="24">
        <f t="shared" ref="I6:I11" si="0">F6*H6</f>
        <v>1300</v>
      </c>
      <c r="J6" s="32"/>
    </row>
    <row r="7" s="6" customFormat="1" ht="45" customHeight="1" spans="1:10">
      <c r="A7" s="23">
        <v>2</v>
      </c>
      <c r="B7" s="24" t="s">
        <v>19</v>
      </c>
      <c r="C7" s="24" t="s">
        <v>15</v>
      </c>
      <c r="D7" s="25" t="s">
        <v>20</v>
      </c>
      <c r="E7" s="26" t="s">
        <v>21</v>
      </c>
      <c r="F7" s="24">
        <v>1</v>
      </c>
      <c r="G7" s="24" t="s">
        <v>22</v>
      </c>
      <c r="H7" s="27">
        <v>1177</v>
      </c>
      <c r="I7" s="24">
        <f>H7*F7</f>
        <v>1177</v>
      </c>
      <c r="J7" s="32"/>
    </row>
    <row r="8" s="7" customFormat="1" ht="45" customHeight="1" spans="1:25">
      <c r="A8" s="28" t="s">
        <v>23</v>
      </c>
      <c r="B8" s="29"/>
      <c r="C8" s="29"/>
      <c r="D8" s="29"/>
      <c r="E8" s="29"/>
      <c r="F8" s="29"/>
      <c r="G8" s="29"/>
      <c r="H8" s="29"/>
      <c r="I8" s="29"/>
      <c r="J8" s="2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="8" customFormat="1" ht="64.5" customHeight="1" spans="1:26">
      <c r="A9" s="23">
        <v>3</v>
      </c>
      <c r="B9" s="24" t="s">
        <v>24</v>
      </c>
      <c r="C9" s="24" t="s">
        <v>15</v>
      </c>
      <c r="D9" s="24" t="s">
        <v>25</v>
      </c>
      <c r="E9" s="24" t="s">
        <v>26</v>
      </c>
      <c r="F9" s="24">
        <v>1</v>
      </c>
      <c r="G9" s="24" t="s">
        <v>22</v>
      </c>
      <c r="H9" s="27">
        <v>980</v>
      </c>
      <c r="I9" s="24">
        <f t="shared" si="0"/>
        <v>980</v>
      </c>
      <c r="J9" s="2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="9" customFormat="1" ht="99" customHeight="1" spans="1:10">
      <c r="A10" s="30">
        <v>4</v>
      </c>
      <c r="B10" s="31" t="s">
        <v>27</v>
      </c>
      <c r="C10" s="31" t="s">
        <v>15</v>
      </c>
      <c r="D10" s="31" t="s">
        <v>28</v>
      </c>
      <c r="E10" s="31" t="s">
        <v>29</v>
      </c>
      <c r="F10" s="31">
        <v>1</v>
      </c>
      <c r="G10" s="31" t="s">
        <v>22</v>
      </c>
      <c r="H10" s="31">
        <v>890</v>
      </c>
      <c r="I10" s="31">
        <f t="shared" si="0"/>
        <v>890</v>
      </c>
      <c r="J10" s="29"/>
    </row>
    <row r="11" s="10" customFormat="1" ht="72" customHeight="1" spans="1:10">
      <c r="A11" s="23">
        <v>5</v>
      </c>
      <c r="B11" s="24" t="s">
        <v>30</v>
      </c>
      <c r="C11" s="24" t="s">
        <v>15</v>
      </c>
      <c r="D11" s="32" t="s">
        <v>31</v>
      </c>
      <c r="E11" s="24" t="s">
        <v>32</v>
      </c>
      <c r="F11" s="32">
        <v>1</v>
      </c>
      <c r="G11" s="32" t="s">
        <v>22</v>
      </c>
      <c r="H11" s="32">
        <v>380</v>
      </c>
      <c r="I11" s="32">
        <f t="shared" si="0"/>
        <v>380</v>
      </c>
      <c r="J11" s="32"/>
    </row>
    <row r="12" s="11" customFormat="1" ht="49" customHeight="1" spans="1:10">
      <c r="A12" s="33" t="s">
        <v>33</v>
      </c>
      <c r="B12" s="34"/>
      <c r="C12" s="34"/>
      <c r="D12" s="34"/>
      <c r="E12" s="34"/>
      <c r="F12" s="34"/>
      <c r="G12" s="34"/>
      <c r="H12" s="34"/>
      <c r="I12" s="34"/>
      <c r="J12" s="34"/>
    </row>
    <row r="13" s="11" customFormat="1" ht="49" customHeight="1" spans="1:10">
      <c r="A13" s="33"/>
      <c r="B13" s="34" t="s">
        <v>34</v>
      </c>
      <c r="C13" s="34" t="s">
        <v>35</v>
      </c>
      <c r="D13" s="34" t="s">
        <v>36</v>
      </c>
      <c r="E13" s="35" t="s">
        <v>37</v>
      </c>
      <c r="F13" s="34">
        <v>1</v>
      </c>
      <c r="G13" s="34" t="s">
        <v>22</v>
      </c>
      <c r="H13" s="34">
        <v>11500</v>
      </c>
      <c r="I13" s="34">
        <v>11500</v>
      </c>
      <c r="J13" s="34"/>
    </row>
    <row r="14" s="11" customFormat="1" ht="49" customHeight="1" spans="1:10">
      <c r="A14" s="33"/>
      <c r="B14" s="34" t="s">
        <v>38</v>
      </c>
      <c r="C14" s="34" t="s">
        <v>39</v>
      </c>
      <c r="D14" s="34" t="s">
        <v>40</v>
      </c>
      <c r="E14" s="34" t="s">
        <v>41</v>
      </c>
      <c r="F14" s="34">
        <v>1</v>
      </c>
      <c r="G14" s="34" t="s">
        <v>42</v>
      </c>
      <c r="H14" s="34">
        <v>3500</v>
      </c>
      <c r="I14" s="34">
        <v>3500</v>
      </c>
      <c r="J14" s="34"/>
    </row>
    <row r="15" s="11" customFormat="1" ht="49" customHeight="1" spans="1:10">
      <c r="A15" s="33"/>
      <c r="B15" s="34" t="s">
        <v>43</v>
      </c>
      <c r="C15" s="34" t="s">
        <v>44</v>
      </c>
      <c r="D15" s="34" t="s">
        <v>45</v>
      </c>
      <c r="E15" s="34"/>
      <c r="F15" s="34">
        <v>1</v>
      </c>
      <c r="G15" s="34" t="s">
        <v>46</v>
      </c>
      <c r="H15" s="34">
        <v>880</v>
      </c>
      <c r="I15" s="34">
        <v>880</v>
      </c>
      <c r="J15" s="34"/>
    </row>
    <row r="16" s="12" customFormat="1" ht="83.1" customHeight="1" spans="1:10">
      <c r="A16" s="36">
        <v>6</v>
      </c>
      <c r="B16" s="37" t="s">
        <v>47</v>
      </c>
      <c r="C16" s="37" t="s">
        <v>48</v>
      </c>
      <c r="D16" s="37" t="s">
        <v>49</v>
      </c>
      <c r="E16" s="38" t="s">
        <v>50</v>
      </c>
      <c r="F16" s="37">
        <v>1</v>
      </c>
      <c r="G16" s="37" t="s">
        <v>22</v>
      </c>
      <c r="H16" s="37">
        <v>2980</v>
      </c>
      <c r="I16" s="37">
        <f>H16*F16</f>
        <v>2980</v>
      </c>
      <c r="J16" s="45"/>
    </row>
    <row r="17" s="13" customFormat="1" ht="69.75" customHeight="1" spans="1:10">
      <c r="A17" s="39">
        <v>7</v>
      </c>
      <c r="B17" s="35" t="s">
        <v>51</v>
      </c>
      <c r="C17" s="35"/>
      <c r="D17" s="35" t="s">
        <v>52</v>
      </c>
      <c r="E17" s="35" t="s">
        <v>53</v>
      </c>
      <c r="F17" s="35">
        <v>1</v>
      </c>
      <c r="G17" s="34" t="s">
        <v>46</v>
      </c>
      <c r="H17" s="34">
        <v>150</v>
      </c>
      <c r="I17" s="34">
        <v>150</v>
      </c>
      <c r="J17" s="34"/>
    </row>
    <row r="18" s="11" customFormat="1" ht="42" customHeight="1" spans="1:10">
      <c r="A18" s="33" t="s">
        <v>54</v>
      </c>
      <c r="B18" s="34"/>
      <c r="C18" s="34"/>
      <c r="D18" s="34"/>
      <c r="E18" s="34"/>
      <c r="F18" s="34"/>
      <c r="G18" s="34"/>
      <c r="H18" s="34"/>
      <c r="I18" s="34"/>
      <c r="J18" s="34"/>
    </row>
    <row r="19" s="6" customFormat="1" ht="81" customHeight="1" spans="1:10">
      <c r="A19" s="23">
        <v>8</v>
      </c>
      <c r="B19" s="24" t="s">
        <v>55</v>
      </c>
      <c r="C19" s="24" t="s">
        <v>56</v>
      </c>
      <c r="D19" s="24" t="s">
        <v>57</v>
      </c>
      <c r="E19" s="40" t="s">
        <v>58</v>
      </c>
      <c r="F19" s="24">
        <v>1</v>
      </c>
      <c r="G19" s="24" t="s">
        <v>46</v>
      </c>
      <c r="H19" s="24">
        <v>180</v>
      </c>
      <c r="I19" s="24">
        <f>H19*F19</f>
        <v>180</v>
      </c>
      <c r="J19" s="32"/>
    </row>
    <row r="20" s="9" customFormat="1" ht="42" customHeight="1" spans="1:10">
      <c r="A20" s="41">
        <v>9</v>
      </c>
      <c r="B20" s="31" t="s">
        <v>59</v>
      </c>
      <c r="C20" s="31" t="s">
        <v>60</v>
      </c>
      <c r="D20" s="31" t="s">
        <v>61</v>
      </c>
      <c r="E20" s="42" t="s">
        <v>62</v>
      </c>
      <c r="F20" s="31">
        <v>1</v>
      </c>
      <c r="G20" s="31" t="s">
        <v>63</v>
      </c>
      <c r="H20" s="31">
        <v>180</v>
      </c>
      <c r="I20" s="31">
        <f>H20*F20</f>
        <v>180</v>
      </c>
      <c r="J20" s="29"/>
    </row>
    <row r="21" s="9" customFormat="1" ht="42" customHeight="1" spans="1:10">
      <c r="A21" s="41">
        <v>10</v>
      </c>
      <c r="B21" s="31" t="s">
        <v>64</v>
      </c>
      <c r="C21" s="31" t="s">
        <v>60</v>
      </c>
      <c r="D21" s="31" t="s">
        <v>65</v>
      </c>
      <c r="E21" s="42" t="s">
        <v>66</v>
      </c>
      <c r="F21" s="31">
        <v>2</v>
      </c>
      <c r="G21" s="31" t="s">
        <v>67</v>
      </c>
      <c r="H21" s="31">
        <v>16</v>
      </c>
      <c r="I21" s="31">
        <f>H21*F21</f>
        <v>32</v>
      </c>
      <c r="J21" s="29"/>
    </row>
    <row r="22" s="9" customFormat="1" ht="42" customHeight="1" spans="1:10">
      <c r="A22" s="41">
        <v>11</v>
      </c>
      <c r="B22" s="31" t="s">
        <v>68</v>
      </c>
      <c r="C22" s="31" t="s">
        <v>60</v>
      </c>
      <c r="D22" s="31" t="s">
        <v>69</v>
      </c>
      <c r="E22" s="42" t="s">
        <v>70</v>
      </c>
      <c r="F22" s="31">
        <v>2</v>
      </c>
      <c r="G22" s="31" t="s">
        <v>46</v>
      </c>
      <c r="H22" s="31">
        <v>8</v>
      </c>
      <c r="I22" s="31">
        <f>H22*F22</f>
        <v>16</v>
      </c>
      <c r="J22" s="29"/>
    </row>
    <row r="23" s="9" customFormat="1" ht="42" customHeight="1" spans="1:10">
      <c r="A23" s="41">
        <v>12</v>
      </c>
      <c r="B23" s="31" t="s">
        <v>64</v>
      </c>
      <c r="C23" s="31" t="s">
        <v>60</v>
      </c>
      <c r="D23" s="31" t="s">
        <v>71</v>
      </c>
      <c r="E23" s="42" t="s">
        <v>72</v>
      </c>
      <c r="F23" s="31">
        <v>2</v>
      </c>
      <c r="G23" s="31" t="s">
        <v>67</v>
      </c>
      <c r="H23" s="31">
        <v>18</v>
      </c>
      <c r="I23" s="31">
        <f>H23*F23</f>
        <v>36</v>
      </c>
      <c r="J23" s="29"/>
    </row>
    <row r="24" s="9" customFormat="1" ht="42" customHeight="1" spans="1:10">
      <c r="A24" s="41">
        <v>13</v>
      </c>
      <c r="B24" s="31" t="s">
        <v>64</v>
      </c>
      <c r="C24" s="31" t="s">
        <v>60</v>
      </c>
      <c r="D24" s="31" t="s">
        <v>73</v>
      </c>
      <c r="E24" s="42" t="s">
        <v>74</v>
      </c>
      <c r="F24" s="31">
        <v>2</v>
      </c>
      <c r="G24" s="31" t="s">
        <v>46</v>
      </c>
      <c r="H24" s="31">
        <v>6</v>
      </c>
      <c r="I24" s="31">
        <f>H24*F24</f>
        <v>12</v>
      </c>
      <c r="J24" s="29"/>
    </row>
    <row r="25" ht="42" customHeight="1" spans="1:10">
      <c r="A25" s="43" t="s">
        <v>75</v>
      </c>
      <c r="B25" s="43"/>
      <c r="C25" s="43"/>
      <c r="D25" s="43"/>
      <c r="E25" s="43"/>
      <c r="F25" s="43"/>
      <c r="G25" s="43"/>
      <c r="H25" s="43"/>
      <c r="I25" s="46">
        <f>SUM(I6:I24)</f>
        <v>24193</v>
      </c>
      <c r="J25" s="46" t="s">
        <v>76</v>
      </c>
    </row>
    <row r="26" ht="42" customHeight="1" spans="1:10">
      <c r="A26" s="43" t="s">
        <v>77</v>
      </c>
      <c r="B26" s="43"/>
      <c r="C26" s="43"/>
      <c r="D26" s="43"/>
      <c r="E26" s="43"/>
      <c r="F26" s="43"/>
      <c r="G26" s="43"/>
      <c r="H26" s="43"/>
      <c r="I26" s="46">
        <f>I25*J26+I25</f>
        <v>26612.3</v>
      </c>
      <c r="J26" s="46">
        <v>0.1</v>
      </c>
    </row>
  </sheetData>
  <mergeCells count="5">
    <mergeCell ref="A1:J1"/>
    <mergeCell ref="A2:J2"/>
    <mergeCell ref="A3:J3"/>
    <mergeCell ref="A25:H25"/>
    <mergeCell ref="A26:H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2026-03-26T08:19:00Z</dcterms:created>
  <dcterms:modified xsi:type="dcterms:W3CDTF">2026-06-10T02:52:07Z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5BE87BF56CBD4347AB2188335118CE2F_13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1</vt:i4>
  </property>
</Properties>
</file>